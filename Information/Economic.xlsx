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VKR\PI_41_124318\Information\"/>
    </mc:Choice>
  </mc:AlternateContent>
  <xr:revisionPtr revIDLastSave="0" documentId="8_{56F5FDD5-8E8D-44B0-84B6-0DA08DD4CD43}" xr6:coauthVersionLast="47" xr6:coauthVersionMax="47" xr10:uidLastSave="{00000000-0000-0000-0000-000000000000}"/>
  <bookViews>
    <workbookView xWindow="3120" yWindow="3120" windowWidth="43185" windowHeight="17760" activeTab="1" xr2:uid="{00000000-000D-0000-FFFF-FFFF00000000}"/>
  </bookViews>
  <sheets>
    <sheet name="общие трудозатраты" sheetId="1" r:id="rId1"/>
    <sheet name="общая стоимость" sheetId="2" r:id="rId2"/>
  </sheets>
  <definedNames>
    <definedName name="_ftn1" localSheetId="0">'общие трудозатраты'!$S$12</definedName>
    <definedName name="_ftnref1" localSheetId="0">'общие трудозатраты'!$S$1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2" l="1"/>
  <c r="P8" i="2"/>
  <c r="L8" i="2"/>
  <c r="P7" i="2"/>
  <c r="N3" i="2"/>
  <c r="C9" i="2" s="1"/>
  <c r="E3" i="2"/>
  <c r="G3" i="2" s="1"/>
  <c r="D60" i="1"/>
  <c r="K17" i="1" s="1"/>
  <c r="D48" i="1"/>
  <c r="K16" i="1" s="1"/>
  <c r="D36" i="1"/>
  <c r="K15" i="1" s="1"/>
  <c r="D26" i="1"/>
  <c r="K14" i="1"/>
  <c r="O7" i="1"/>
  <c r="Q9" i="1" s="1"/>
  <c r="H17" i="1" s="1"/>
  <c r="O6" i="1"/>
  <c r="M6" i="1"/>
  <c r="K6" i="1"/>
  <c r="I6" i="1"/>
  <c r="O5" i="1"/>
  <c r="M5" i="1"/>
  <c r="K5" i="1"/>
  <c r="I5" i="1"/>
  <c r="O4" i="1"/>
  <c r="M4" i="1"/>
  <c r="K4" i="1"/>
  <c r="I4" i="1"/>
  <c r="O3" i="1"/>
  <c r="M3" i="1"/>
  <c r="K3" i="1"/>
  <c r="I3" i="1"/>
  <c r="O2" i="1"/>
  <c r="M2" i="1"/>
  <c r="K2" i="1"/>
  <c r="I2" i="1"/>
  <c r="K7" i="1" l="1"/>
  <c r="K9" i="1" s="1"/>
  <c r="H15" i="1" s="1"/>
  <c r="L15" i="1" s="1"/>
  <c r="M7" i="1"/>
  <c r="N9" i="1" s="1"/>
  <c r="H16" i="1" s="1"/>
  <c r="L16" i="1" s="1"/>
  <c r="I7" i="1"/>
  <c r="H9" i="1" s="1"/>
  <c r="H14" i="1" s="1"/>
  <c r="L14" i="1" s="1"/>
  <c r="L17" i="1"/>
  <c r="E9" i="2"/>
  <c r="G9" i="2"/>
  <c r="C7" i="2"/>
  <c r="C4" i="2"/>
  <c r="C8" i="2"/>
  <c r="C10" i="2"/>
  <c r="C5" i="2"/>
  <c r="C11" i="2"/>
  <c r="C6" i="2"/>
  <c r="E6" i="2" s="1"/>
  <c r="L18" i="1" l="1"/>
  <c r="C12" i="2"/>
  <c r="E5" i="2"/>
  <c r="G5" i="2"/>
  <c r="E10" i="2"/>
  <c r="G10" i="2" s="1"/>
  <c r="G6" i="2"/>
  <c r="E11" i="2"/>
  <c r="G11" i="2" s="1"/>
  <c r="E8" i="2"/>
  <c r="G8" i="2" s="1"/>
  <c r="E4" i="2"/>
  <c r="G4" i="2" s="1"/>
  <c r="G12" i="2" l="1"/>
  <c r="L9" i="2" s="1"/>
  <c r="Q8" i="2" l="1"/>
  <c r="Q7" i="2"/>
  <c r="Q9" i="2"/>
</calcChain>
</file>

<file path=xl/sharedStrings.xml><?xml version="1.0" encoding="utf-8"?>
<sst xmlns="http://schemas.openxmlformats.org/spreadsheetml/2006/main" count="149" uniqueCount="66">
  <si>
    <t>Коэффициент сложности</t>
  </si>
  <si>
    <t xml:space="preserve"> Django</t>
  </si>
  <si>
    <t>ФТ 1</t>
  </si>
  <si>
    <t>Plotly Dash</t>
  </si>
  <si>
    <t>ФТ 2</t>
  </si>
  <si>
    <t>Playwright</t>
  </si>
  <si>
    <t>locust</t>
  </si>
  <si>
    <t>Тип функции обработки информации</t>
  </si>
  <si>
    <t>Количество функций обработки информации (шт.)</t>
  </si>
  <si>
    <t xml:space="preserve"> </t>
  </si>
  <si>
    <t>внутренние логические файлы</t>
  </si>
  <si>
    <t>внешние интерфейсные файлы</t>
  </si>
  <si>
    <t>внешние входные элементы</t>
  </si>
  <si>
    <t>внешние выходные элементы</t>
  </si>
  <si>
    <t>Кп</t>
  </si>
  <si>
    <t>внешние запросы</t>
  </si>
  <si>
    <t>kloc</t>
  </si>
  <si>
    <t>Подсистема</t>
  </si>
  <si>
    <t>Размер ИС</t>
  </si>
  <si>
    <t>А</t>
  </si>
  <si>
    <t>B</t>
  </si>
  <si>
    <t>ПМ</t>
  </si>
  <si>
    <t>Общая ТЕ (ч\мес)</t>
  </si>
  <si>
    <t>общее</t>
  </si>
  <si>
    <t>факторы</t>
  </si>
  <si>
    <t>уровень</t>
  </si>
  <si>
    <t>значение</t>
  </si>
  <si>
    <t>М1</t>
  </si>
  <si>
    <t>Средний</t>
  </si>
  <si>
    <t>М2</t>
  </si>
  <si>
    <t>М3</t>
  </si>
  <si>
    <t>Высокий</t>
  </si>
  <si>
    <t>М4</t>
  </si>
  <si>
    <t>М5</t>
  </si>
  <si>
    <t>М6</t>
  </si>
  <si>
    <t>Низкий</t>
  </si>
  <si>
    <t>Кч</t>
  </si>
  <si>
    <t>Чi</t>
  </si>
  <si>
    <t>КучMAX</t>
  </si>
  <si>
    <t>Куч</t>
  </si>
  <si>
    <t>Индекс</t>
  </si>
  <si>
    <t>Ккв(уч)</t>
  </si>
  <si>
    <t>Е/Тп</t>
  </si>
  <si>
    <t>Руководитель проекта</t>
  </si>
  <si>
    <t>Е</t>
  </si>
  <si>
    <t>Заместитель руководителя проекта</t>
  </si>
  <si>
    <t>Тп</t>
  </si>
  <si>
    <t>Главный архитектор проекта, главный методолог, главный консультант, главный инженер проект, главный научный сотрудник</t>
  </si>
  <si>
    <t>ЗП</t>
  </si>
  <si>
    <t>Ведущий архитектор, ведущий методолог, главный аналитик, главный разработчик, ведущий научный сотрудник</t>
  </si>
  <si>
    <t>Кз</t>
  </si>
  <si>
    <t>траты</t>
  </si>
  <si>
    <t>Руководитель группы, старший архитектор, старший методолог, старший научный сотрудник</t>
  </si>
  <si>
    <t>рента</t>
  </si>
  <si>
    <t>так как не НИОКР</t>
  </si>
  <si>
    <t>1 этап</t>
  </si>
  <si>
    <t>Архитектор, методолог, технический писатель, ведущий аналитик, ведущий разработчик, ведущий инженер, научный сотрудник</t>
  </si>
  <si>
    <t>Вср</t>
  </si>
  <si>
    <t>2 этап</t>
  </si>
  <si>
    <t>Старший аналитик, старший разработчик, старший инженер, администратор проекта, младший научный сотрудник</t>
  </si>
  <si>
    <t>С</t>
  </si>
  <si>
    <t>3 этап</t>
  </si>
  <si>
    <t>Аналитик, разработчик, эксперт-специалист</t>
  </si>
  <si>
    <t>Тестировщик, техник</t>
  </si>
  <si>
    <t>Всего</t>
  </si>
  <si>
    <t>Зуев Илья ИИС ПИ 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</si>
</sst>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b/>
      <sz val="11"/>
      <color theme="1"/>
      <name val="Calibri"/>
      <scheme val="minor"/>
    </font>
    <font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rgb="FF00B050"/>
      </patternFill>
    </fill>
    <fill>
      <patternFill patternType="solid">
        <fgColor rgb="FFFFC000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2" borderId="4" xfId="0" applyFill="1" applyBorder="1"/>
    <xf numFmtId="0" fontId="0" fillId="3" borderId="4" xfId="0" applyFill="1" applyBorder="1"/>
    <xf numFmtId="0" fontId="0" fillId="2" borderId="12" xfId="0" applyFill="1" applyBorder="1"/>
    <xf numFmtId="0" fontId="0" fillId="3" borderId="12" xfId="0" applyFill="1" applyBorder="1"/>
    <xf numFmtId="0" fontId="1" fillId="0" borderId="13" xfId="0" applyFont="1" applyBorder="1" applyAlignment="1">
      <alignment vertical="center" wrapText="1"/>
    </xf>
    <xf numFmtId="0" fontId="0" fillId="0" borderId="0" xfId="0" applyAlignment="1">
      <alignment wrapText="1"/>
    </xf>
    <xf numFmtId="2" fontId="0" fillId="0" borderId="0" xfId="0" applyNumberFormat="1"/>
    <xf numFmtId="0" fontId="0" fillId="0" borderId="4" xfId="0" applyBorder="1" applyAlignment="1">
      <alignment wrapText="1"/>
    </xf>
    <xf numFmtId="2" fontId="0" fillId="0" borderId="4" xfId="0" applyNumberFormat="1" applyBorder="1" applyAlignment="1">
      <alignment wrapText="1"/>
    </xf>
    <xf numFmtId="2" fontId="0" fillId="0" borderId="4" xfId="0" applyNumberFormat="1" applyBorder="1"/>
    <xf numFmtId="0" fontId="0" fillId="4" borderId="4" xfId="0" applyFill="1" applyBorder="1"/>
    <xf numFmtId="0" fontId="0" fillId="4" borderId="0" xfId="0" applyFill="1"/>
    <xf numFmtId="0" fontId="0" fillId="0" borderId="4" xfId="0" applyBorder="1" applyAlignment="1">
      <alignment vertical="center" wrapText="1"/>
    </xf>
    <xf numFmtId="2" fontId="0" fillId="0" borderId="4" xfId="0" applyNumberFormat="1" applyBorder="1" applyAlignment="1">
      <alignment vertical="center" wrapText="1"/>
    </xf>
    <xf numFmtId="0" fontId="0" fillId="0" borderId="14" xfId="0" applyBorder="1"/>
    <xf numFmtId="0" fontId="3" fillId="0" borderId="12" xfId="0" applyFont="1" applyBorder="1" applyAlignment="1">
      <alignment vertical="center" wrapText="1"/>
    </xf>
    <xf numFmtId="2" fontId="0" fillId="3" borderId="4" xfId="0" applyNumberFormat="1" applyFill="1" applyBorder="1"/>
    <xf numFmtId="2" fontId="0" fillId="0" borderId="0" xfId="0" applyNumberFormat="1" applyAlignment="1">
      <alignment wrapText="1"/>
    </xf>
    <xf numFmtId="0" fontId="3" fillId="0" borderId="13" xfId="0" applyFont="1" applyBorder="1" applyAlignment="1">
      <alignment horizontal="center" vertical="center" wrapText="1"/>
    </xf>
    <xf numFmtId="0" fontId="0" fillId="2" borderId="0" xfId="0" applyFill="1"/>
    <xf numFmtId="0" fontId="3" fillId="0" borderId="10" xfId="0" applyFont="1" applyBorder="1" applyAlignment="1">
      <alignment horizontal="center" vertical="center" wrapText="1"/>
    </xf>
    <xf numFmtId="9" fontId="0" fillId="0" borderId="4" xfId="0" applyNumberFormat="1" applyBorder="1"/>
    <xf numFmtId="0" fontId="0" fillId="0" borderId="15" xfId="0" applyBorder="1"/>
    <xf numFmtId="4" fontId="0" fillId="2" borderId="4" xfId="0" applyNumberFormat="1" applyFill="1" applyBorder="1"/>
    <xf numFmtId="0" fontId="2" fillId="0" borderId="4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219075</xdr:colOff>
      <xdr:row>6</xdr:row>
      <xdr:rowOff>119062</xdr:rowOff>
    </xdr:from>
    <xdr:ext cx="1514474" cy="40991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 bwMode="auto">
            <a:xfrm>
              <a:off x="7067550" y="2967037"/>
              <a:ext cx="1514475" cy="409920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ФТ=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ru-RU" sz="1100" b="0" i="1">
                                <a:latin typeface="Cambria Math"/>
                              </a:rPr>
                              <m:t>Ф</m:t>
                            </m:r>
                            <m:r>
                              <a:rPr lang="en-US" sz="1100" b="0" i="1">
                                <a:latin typeface="Cambria Math"/>
                              </a:rPr>
                              <m:t>𝑖</m:t>
                            </m:r>
                            <m:r>
                              <a:rPr lang="en-US" sz="1100" b="0" i="1">
                                <a:latin typeface="Cambria Math"/>
                                <a:ea typeface="Cambria Math"/>
                              </a:rPr>
                              <m:t>𝛼</m:t>
                            </m:r>
                          </m:e>
                        </m:nary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 bwMode="auto">
            <a:xfrm>
              <a:off x="7067550" y="2967037"/>
              <a:ext cx="1514475" cy="409920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ФТ=</a:t>
              </a:r>
              <a:r>
                <a:rPr lang="ru-RU" sz="1100" b="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  <a:ea typeface="Cambria Math"/>
                </a:rPr>
                <a:t>▒</a:t>
              </a:r>
              <a:r>
                <a:rPr lang="ru-RU" sz="1100" b="0" i="0">
                  <a:latin typeface="Cambria Math"/>
                </a:rPr>
                <a:t>Ф</a:t>
              </a:r>
              <a:r>
                <a:rPr lang="en-US" sz="1100" b="0" i="0">
                  <a:latin typeface="Cambria Math"/>
                </a:rPr>
                <a:t>𝑖</a:t>
              </a:r>
              <a:r>
                <a:rPr lang="en-US" sz="1100" b="0" i="0">
                  <a:latin typeface="Cambria Math"/>
                  <a:ea typeface="Cambria Math"/>
                </a:rPr>
                <a:t>𝛼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219075</xdr:colOff>
      <xdr:row>10</xdr:row>
      <xdr:rowOff>61912</xdr:rowOff>
    </xdr:from>
    <xdr:ext cx="1070871" cy="3207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 bwMode="auto">
            <a:xfrm>
              <a:off x="9324975" y="4271962"/>
              <a:ext cx="1070871" cy="320793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0" i="1">
                            <a:latin typeface="Cambria Math"/>
                          </a:rPr>
                          <m:t>𝐾𝐿𝑂𝐶</m:t>
                        </m:r>
                        <m:r>
                          <a:rPr lang="en-US" sz="1100" b="0" i="1">
                            <a:latin typeface="Cambria Math"/>
                          </a:rPr>
                          <m:t>=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ФТ∗Кп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/>
                              </a:rPr>
                              <m:t>1000</m:t>
                            </m:r>
                          </m:den>
                        </m:f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 bwMode="auto">
            <a:xfrm>
              <a:off x="9324975" y="4271962"/>
              <a:ext cx="1070871" cy="320793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en-US" sz="1100" b="0" i="0">
                  <a:latin typeface="Cambria Math"/>
                </a:rPr>
                <a:t>𝐾𝐿𝑂𝐶=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ru-RU" sz="1100" b="0" i="0">
                  <a:latin typeface="Cambria Math"/>
                </a:rPr>
                <a:t>ФТ∗Кп</a:t>
              </a:r>
              <a:r>
                <a:rPr lang="en-US" sz="1100" b="0" i="0">
                  <a:latin typeface="Cambria Math" panose="02040503050406030204" pitchFamily="18" charset="0"/>
                </a:rPr>
                <a:t>)/</a:t>
              </a:r>
              <a:r>
                <a:rPr lang="en-US" sz="1100" b="0" i="0">
                  <a:latin typeface="Cambria Math"/>
                </a:rPr>
                <a:t>1000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266699</xdr:colOff>
      <xdr:row>12</xdr:row>
      <xdr:rowOff>223837</xdr:rowOff>
    </xdr:from>
    <xdr:ext cx="1590675" cy="178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 bwMode="auto">
        <a:xfrm>
          <a:off x="11391898" y="5453062"/>
          <a:ext cx="1590675" cy="178832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>
            <a:defRPr/>
          </a:pPr>
          <a:endParaRPr lang="ru-RU" sz="1100"/>
        </a:p>
      </xdr:txBody>
    </xdr:sp>
    <xdr:clientData/>
  </xdr:oneCellAnchor>
  <xdr:oneCellAnchor>
    <xdr:from>
      <xdr:col>2</xdr:col>
      <xdr:colOff>28574</xdr:colOff>
      <xdr:row>68</xdr:row>
      <xdr:rowOff>176212</xdr:rowOff>
    </xdr:from>
    <xdr:ext cx="1590675" cy="17222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 bwMode="auto">
        <a:xfrm>
          <a:off x="2790824" y="17073562"/>
          <a:ext cx="1590675" cy="172227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>
            <a:defRPr/>
          </a:pPr>
          <a:endParaRPr lang="ru-RU" sz="1100"/>
        </a:p>
      </xdr:txBody>
    </xdr:sp>
    <xdr:clientData/>
  </xdr:oneCellAnchor>
  <xdr:oneCellAnchor>
    <xdr:from>
      <xdr:col>8</xdr:col>
      <xdr:colOff>28574</xdr:colOff>
      <xdr:row>17</xdr:row>
      <xdr:rowOff>176212</xdr:rowOff>
    </xdr:from>
    <xdr:ext cx="1590675" cy="17883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 bwMode="auto">
            <a:xfrm>
              <a:off x="2790824" y="17264062"/>
              <a:ext cx="1590675" cy="17883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 xmlns:m="http://schemas.openxmlformats.org/officeDocument/2006/math">
                      <m:r>
                        <a:rPr lang="en-US" sz="1100" b="0" i="1">
                          <a:latin typeface="Cambria Math"/>
                        </a:rPr>
                        <m:t>𝐸</m:t>
                      </m:r>
                      <m:r>
                        <a:rPr lang="en-US" sz="1100" b="0" i="1">
                          <a:latin typeface="Cambria Math"/>
                        </a:rPr>
                        <m:t>=</m:t>
                      </m:r>
                      <m:r>
                        <a:rPr lang="en-US" sz="1100" b="0" i="1">
                          <a:latin typeface="Cambria Math"/>
                        </a:rPr>
                        <m:t>𝐴</m:t>
                      </m:r>
                      <m:r>
                        <a:rPr lang="en-US" sz="1100" b="0" i="1">
                          <a:latin typeface="Cambria Math"/>
                        </a:rPr>
                        <m:t>∗</m:t>
                      </m:r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/>
                            </a:rPr>
                            <m:t>𝐾𝐿𝑂𝐶</m:t>
                          </m:r>
                        </m:e>
                        <m:sup>
                          <m:r>
                            <a:rPr lang="en-US" sz="1100" b="0" i="1">
                              <a:latin typeface="Cambria Math"/>
                            </a:rPr>
                            <m:t>𝑏</m:t>
                          </m:r>
                        </m:sup>
                      </m:sSup>
                    </m:oMath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r>
                <a:rPr lang="en-US" sz="1100"/>
                <a:t>*</a:t>
              </a:r>
              <a:r>
                <a:rPr lang="ru-RU" sz="1100"/>
                <a:t>ПМ</a:t>
              </a:r>
              <a:endParaRPr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 bwMode="auto">
            <a:xfrm>
              <a:off x="2790824" y="17264062"/>
              <a:ext cx="1590675" cy="17883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en-US" sz="1100" b="0" i="0">
                  <a:latin typeface="Cambria Math"/>
                </a:rPr>
                <a:t>𝐸=𝐴∗</a:t>
              </a:r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/>
                </a:rPr>
                <a:t>𝐾𝐿𝑂𝐶</a:t>
              </a:r>
              <a:r>
                <a:rPr lang="en-US" sz="1100" b="0" i="0">
                  <a:latin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/>
                </a:rPr>
                <a:t>𝑏</a:t>
              </a:r>
              <a:r>
                <a:rPr lang="en-US" sz="1100"/>
                <a:t>*</a:t>
              </a:r>
              <a:r>
                <a:rPr lang="ru-RU" sz="1100"/>
                <a:t>ПМ</a:t>
              </a:r>
              <a:endParaRPr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371475</xdr:colOff>
      <xdr:row>12</xdr:row>
      <xdr:rowOff>42861</xdr:rowOff>
    </xdr:from>
    <xdr:ext cx="1057275" cy="3157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 bwMode="auto">
            <a:xfrm>
              <a:off x="5972175" y="3681412"/>
              <a:ext cx="1057275" cy="31579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Чп=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/>
                              </a:rPr>
                              <m:t>𝐸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/>
                              </a:rPr>
                              <m:t>𝑇</m:t>
                            </m:r>
                          </m:den>
                        </m:f>
                        <m:r>
                          <a:rPr lang="en-US" sz="1100" b="0" i="0">
                            <a:latin typeface="Cambria Math"/>
                          </a:rPr>
                          <m:t> ∗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/>
                          </a:rPr>
                          <m:t>K</m:t>
                        </m:r>
                        <m:r>
                          <a:rPr lang="ru-RU" sz="1100" b="0" i="0">
                            <a:latin typeface="Cambria Math"/>
                          </a:rPr>
                          <m:t>ч</m:t>
                        </m:r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 bwMode="auto">
            <a:xfrm>
              <a:off x="5972175" y="3681412"/>
              <a:ext cx="1057275" cy="31579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Чп=</a:t>
              </a:r>
              <a:r>
                <a:rPr lang="en-US" sz="1100" b="0" i="0">
                  <a:latin typeface="Cambria Math"/>
                </a:rPr>
                <a:t>𝐸</a:t>
              </a:r>
              <a:r>
                <a:rPr lang="ru-RU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/>
                </a:rPr>
                <a:t>𝑇  ∗K</a:t>
              </a:r>
              <a:r>
                <a:rPr lang="ru-RU" sz="1100" b="0" i="0">
                  <a:latin typeface="Cambria Math"/>
                </a:rPr>
                <a:t>ч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504824</xdr:colOff>
      <xdr:row>13</xdr:row>
      <xdr:rowOff>90487</xdr:rowOff>
    </xdr:from>
    <xdr:ext cx="2124074" cy="35718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 bwMode="auto">
            <a:xfrm>
              <a:off x="6715124" y="3919537"/>
              <a:ext cx="2124075" cy="357188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Куч=КучМАХ=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Е</m:t>
                            </m:r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Т</m:t>
                            </m:r>
                          </m:den>
                        </m:f>
                        <m:r>
                          <a:rPr lang="ru-RU" sz="1100" b="0" i="0">
                            <a:latin typeface="Cambria Math"/>
                          </a:rPr>
                          <m:t> ∗ 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Кч</m:t>
                            </m:r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Чп</m:t>
                            </m:r>
                          </m:den>
                        </m:f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 bwMode="auto">
            <a:xfrm>
              <a:off x="6715124" y="3919537"/>
              <a:ext cx="2124075" cy="357188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Куч=КучМАХ=Е</a:t>
              </a:r>
              <a:r>
                <a:rPr lang="ru-RU" sz="1100" b="0" i="0">
                  <a:latin typeface="Cambria Math" panose="02040503050406030204" pitchFamily="18" charset="0"/>
                </a:rPr>
                <a:t>/</a:t>
              </a:r>
              <a:r>
                <a:rPr lang="ru-RU" sz="1100" b="0" i="0">
                  <a:latin typeface="Cambria Math"/>
                </a:rPr>
                <a:t>Т  ∗  Кч</a:t>
              </a:r>
              <a:r>
                <a:rPr lang="ru-RU" sz="1100" b="0" i="0">
                  <a:latin typeface="Cambria Math" panose="02040503050406030204" pitchFamily="18" charset="0"/>
                </a:rPr>
                <a:t>/</a:t>
              </a:r>
              <a:r>
                <a:rPr lang="ru-RU" sz="1100" b="0" i="0">
                  <a:latin typeface="Cambria Math"/>
                </a:rPr>
                <a:t>Чп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314323</xdr:colOff>
      <xdr:row>13</xdr:row>
      <xdr:rowOff>138112</xdr:rowOff>
    </xdr:from>
    <xdr:ext cx="1666875" cy="32611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 bwMode="auto">
            <a:xfrm>
              <a:off x="8963024" y="3967162"/>
              <a:ext cx="1666875" cy="326115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Ккв</m:t>
                        </m:r>
                        <m:d>
                          <m:d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ru-RU" sz="1100" b="0" i="1">
                                <a:latin typeface="Cambria Math"/>
                              </a:rPr>
                              <m:t>уч</m:t>
                            </m:r>
                          </m:e>
                        </m:d>
                        <m:r>
                          <a:rPr lang="ru-RU" sz="1100" b="0" i="1">
                            <a:latin typeface="Cambria Math"/>
                          </a:rPr>
                          <m:t>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ru-RU" sz="1100" b="0" i="1">
                                    <a:latin typeface="Cambria Math"/>
                                  </a:rPr>
                                  <m:t>(Ч∗Куч∗И)</m:t>
                                </m:r>
                              </m:e>
                            </m:nary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Чп</m:t>
                            </m:r>
                          </m:den>
                        </m:f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 txBox="1"/>
          </xdr:nvSpPr>
          <xdr:spPr bwMode="auto">
            <a:xfrm>
              <a:off x="8963024" y="3967162"/>
              <a:ext cx="1666875" cy="326115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Ккв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ru-RU" sz="1100" b="0" i="0">
                  <a:latin typeface="Cambria Math"/>
                </a:rPr>
                <a:t>уч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r>
                <a:rPr lang="ru-RU" sz="1100" b="0" i="0">
                  <a:latin typeface="Cambria Math"/>
                </a:rPr>
                <a:t>=</a:t>
              </a:r>
              <a:r>
                <a:rPr lang="ru-RU" sz="1100" b="0" i="0">
                  <a:latin typeface="Cambria Math" panose="02040503050406030204" pitchFamily="18" charset="0"/>
                </a:rPr>
                <a:t>(∑▒〖</a:t>
              </a:r>
              <a:r>
                <a:rPr lang="ru-RU" sz="1100" b="0" i="0">
                  <a:latin typeface="Cambria Math"/>
                </a:rPr>
                <a:t>(Ч∗Куч∗И)</a:t>
              </a:r>
              <a:r>
                <a:rPr lang="ru-RU" sz="1100" b="0" i="0">
                  <a:latin typeface="Cambria Math" panose="02040503050406030204" pitchFamily="18" charset="0"/>
                </a:rPr>
                <a:t>〗)/</a:t>
              </a:r>
              <a:r>
                <a:rPr lang="ru-RU" sz="1100" b="0" i="0">
                  <a:latin typeface="Cambria Math"/>
                </a:rPr>
                <a:t>Чп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28575</xdr:colOff>
      <xdr:row>7</xdr:row>
      <xdr:rowOff>71437</xdr:rowOff>
    </xdr:from>
    <xdr:ext cx="1057662" cy="32130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 bwMode="auto">
            <a:xfrm>
              <a:off x="9896475" y="2281237"/>
              <a:ext cx="1057662" cy="321305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Вср=</m:t>
                        </m:r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/>
                              </a:rPr>
                              <m:t>ЗП(1+Р)</m:t>
                            </m:r>
                          </m:num>
                          <m:den>
                            <m:r>
                              <a:rPr lang="ru-RU" sz="1100" b="0" i="1">
                                <a:latin typeface="Cambria Math"/>
                              </a:rPr>
                              <m:t>Кз</m:t>
                            </m:r>
                          </m:den>
                        </m:f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 bwMode="auto">
            <a:xfrm>
              <a:off x="9896475" y="2281237"/>
              <a:ext cx="1057662" cy="321305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Вср=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ru-RU" sz="1100" b="0" i="0">
                  <a:latin typeface="Cambria Math"/>
                </a:rPr>
                <a:t>ЗП(1+Р)</a:t>
              </a:r>
              <a:r>
                <a:rPr lang="ru-RU" sz="1100" b="0" i="0">
                  <a:latin typeface="Cambria Math" panose="02040503050406030204" pitchFamily="18" charset="0"/>
                </a:rPr>
                <a:t>)/</a:t>
              </a:r>
              <a:r>
                <a:rPr lang="ru-RU" sz="1100" b="0" i="0">
                  <a:latin typeface="Cambria Math"/>
                </a:rPr>
                <a:t>Кз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457200</xdr:colOff>
      <xdr:row>10</xdr:row>
      <xdr:rowOff>61912</xdr:rowOff>
    </xdr:from>
    <xdr:ext cx="1943100" cy="1722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 bwMode="auto">
            <a:xfrm>
              <a:off x="11544300" y="3300412"/>
              <a:ext cx="1943100" cy="172227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ru-RU" sz="1100" b="0" i="1">
                            <a:latin typeface="Cambria Math"/>
                          </a:rPr>
                          <m:t>С=Вср∗Тп∗Чп∗Ккв(уч)</m:t>
                        </m:r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 txBox="1"/>
          </xdr:nvSpPr>
          <xdr:spPr bwMode="auto">
            <a:xfrm>
              <a:off x="11544300" y="3300412"/>
              <a:ext cx="1943100" cy="172227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ru-RU" sz="1100" b="0" i="0">
                  <a:latin typeface="Cambria Math"/>
                </a:rPr>
                <a:t>С=Вср∗Тп∗Чп∗Ккв(уч)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"/>
  <sheetViews>
    <sheetView workbookViewId="0">
      <selection activeCell="P13" sqref="P13"/>
    </sheetView>
  </sheetViews>
  <sheetFormatPr defaultRowHeight="15" x14ac:dyDescent="0.25"/>
  <cols>
    <col min="1" max="3" width="20.7109375" customWidth="1"/>
    <col min="4" max="4" width="16" customWidth="1"/>
    <col min="5" max="5" width="13.42578125" bestFit="1" customWidth="1"/>
    <col min="6" max="6" width="11.140625" customWidth="1"/>
    <col min="7" max="7" width="15.5703125" customWidth="1"/>
    <col min="11" max="11" width="12" customWidth="1"/>
    <col min="12" max="12" width="12.85546875" customWidth="1"/>
  </cols>
  <sheetData>
    <row r="1" spans="1:28" ht="32.25" thickBot="1" x14ac:dyDescent="0.3">
      <c r="A1" s="43" t="s">
        <v>65</v>
      </c>
      <c r="B1" s="44"/>
      <c r="C1" s="44"/>
      <c r="D1" s="44"/>
      <c r="E1" s="45"/>
      <c r="G1" s="1" t="s">
        <v>0</v>
      </c>
      <c r="H1" s="2" t="s">
        <v>1</v>
      </c>
      <c r="I1" s="3" t="s">
        <v>2</v>
      </c>
      <c r="J1" s="2" t="s">
        <v>3</v>
      </c>
      <c r="K1" s="3" t="s">
        <v>4</v>
      </c>
      <c r="L1" s="2" t="s">
        <v>5</v>
      </c>
      <c r="M1" s="3" t="s">
        <v>2</v>
      </c>
      <c r="N1" s="2" t="s">
        <v>6</v>
      </c>
      <c r="O1" s="3" t="s">
        <v>4</v>
      </c>
      <c r="Q1" s="4"/>
      <c r="R1" s="5"/>
      <c r="S1" s="6"/>
      <c r="T1" s="5"/>
      <c r="U1" s="6"/>
      <c r="V1" s="5"/>
      <c r="W1" s="6"/>
      <c r="X1" s="5"/>
      <c r="Y1" s="6"/>
    </row>
    <row r="2" spans="1:28" ht="16.5" thickBot="1" x14ac:dyDescent="0.3">
      <c r="G2" s="7">
        <v>13</v>
      </c>
      <c r="H2" s="16">
        <v>20</v>
      </c>
      <c r="I2" s="9">
        <f t="shared" ref="I2:I6" si="0">G2*H2</f>
        <v>260</v>
      </c>
      <c r="J2" s="16">
        <v>17</v>
      </c>
      <c r="K2" s="9">
        <f t="shared" ref="K2:K6" si="1">G2*J2</f>
        <v>221</v>
      </c>
      <c r="L2" s="17">
        <v>12</v>
      </c>
      <c r="M2" s="9">
        <f t="shared" ref="M2:M6" si="2">G2*L2</f>
        <v>156</v>
      </c>
      <c r="N2" s="17">
        <v>9</v>
      </c>
      <c r="O2" s="9">
        <f t="shared" ref="O2:O6" si="3">$G2*N2</f>
        <v>117</v>
      </c>
      <c r="Q2" s="10"/>
      <c r="R2" s="11"/>
      <c r="T2" s="11"/>
      <c r="V2" s="10"/>
      <c r="X2" s="10"/>
    </row>
    <row r="3" spans="1:28" ht="78.75" customHeight="1" thickBot="1" x14ac:dyDescent="0.3">
      <c r="A3" s="46" t="s">
        <v>7</v>
      </c>
      <c r="B3" s="48" t="s">
        <v>8</v>
      </c>
      <c r="C3" s="49"/>
      <c r="D3" s="49"/>
      <c r="E3" s="50"/>
      <c r="G3" s="7">
        <v>8</v>
      </c>
      <c r="H3" s="16">
        <v>11</v>
      </c>
      <c r="I3" s="9">
        <f t="shared" si="0"/>
        <v>88</v>
      </c>
      <c r="J3" s="16">
        <v>12</v>
      </c>
      <c r="K3" s="9">
        <f t="shared" si="1"/>
        <v>96</v>
      </c>
      <c r="L3" s="17">
        <v>6</v>
      </c>
      <c r="M3" s="9">
        <f t="shared" si="2"/>
        <v>48</v>
      </c>
      <c r="N3" s="17">
        <v>7</v>
      </c>
      <c r="O3" s="9">
        <f t="shared" si="3"/>
        <v>56</v>
      </c>
      <c r="Q3" s="10"/>
      <c r="R3" s="11"/>
      <c r="T3" s="11"/>
      <c r="V3" s="10"/>
      <c r="X3" s="10"/>
    </row>
    <row r="4" spans="1:28" ht="16.5" thickBot="1" x14ac:dyDescent="0.3">
      <c r="A4" s="47"/>
      <c r="B4" s="12" t="s">
        <v>1</v>
      </c>
      <c r="C4" s="13" t="s">
        <v>3</v>
      </c>
      <c r="D4" s="13" t="s">
        <v>5</v>
      </c>
      <c r="E4" s="14" t="s">
        <v>6</v>
      </c>
      <c r="G4" s="7">
        <v>7</v>
      </c>
      <c r="H4" s="16">
        <v>12</v>
      </c>
      <c r="I4" s="9">
        <f t="shared" si="0"/>
        <v>84</v>
      </c>
      <c r="J4" s="16">
        <v>9</v>
      </c>
      <c r="K4" s="9">
        <f t="shared" si="1"/>
        <v>63</v>
      </c>
      <c r="L4" s="17">
        <v>10</v>
      </c>
      <c r="M4" s="9">
        <f t="shared" si="2"/>
        <v>70</v>
      </c>
      <c r="N4" s="17">
        <v>13</v>
      </c>
      <c r="O4" s="9">
        <f t="shared" si="3"/>
        <v>91</v>
      </c>
      <c r="Q4" s="10"/>
      <c r="R4" s="11"/>
      <c r="T4" s="11"/>
      <c r="V4" s="10"/>
      <c r="X4" s="10"/>
      <c r="AB4" t="s">
        <v>9</v>
      </c>
    </row>
    <row r="5" spans="1:28" ht="32.25" thickBot="1" x14ac:dyDescent="0.3">
      <c r="A5" s="15" t="s">
        <v>10</v>
      </c>
      <c r="B5" s="16">
        <v>20</v>
      </c>
      <c r="C5" s="16">
        <v>17</v>
      </c>
      <c r="D5" s="17">
        <v>12</v>
      </c>
      <c r="E5" s="17">
        <v>9</v>
      </c>
      <c r="G5" s="7">
        <v>5</v>
      </c>
      <c r="H5" s="16">
        <v>14</v>
      </c>
      <c r="I5" s="9">
        <f t="shared" si="0"/>
        <v>70</v>
      </c>
      <c r="J5" s="16">
        <v>12</v>
      </c>
      <c r="K5" s="9">
        <f t="shared" si="1"/>
        <v>60</v>
      </c>
      <c r="L5" s="17">
        <v>8</v>
      </c>
      <c r="M5" s="9">
        <f t="shared" si="2"/>
        <v>40</v>
      </c>
      <c r="N5" s="17">
        <v>10</v>
      </c>
      <c r="O5" s="9">
        <f t="shared" si="3"/>
        <v>50</v>
      </c>
      <c r="Q5" s="10"/>
      <c r="R5" s="11"/>
      <c r="T5" s="11"/>
      <c r="V5" s="10"/>
      <c r="X5" s="10"/>
    </row>
    <row r="6" spans="1:28" ht="48" thickBot="1" x14ac:dyDescent="0.3">
      <c r="A6" s="15" t="s">
        <v>11</v>
      </c>
      <c r="B6" s="16">
        <v>11</v>
      </c>
      <c r="C6" s="16">
        <v>12</v>
      </c>
      <c r="D6" s="17">
        <v>6</v>
      </c>
      <c r="E6" s="17">
        <v>7</v>
      </c>
      <c r="G6" s="7">
        <v>3</v>
      </c>
      <c r="H6" s="16">
        <v>10</v>
      </c>
      <c r="I6" s="9">
        <f t="shared" si="0"/>
        <v>30</v>
      </c>
      <c r="J6" s="8">
        <v>12</v>
      </c>
      <c r="K6" s="9">
        <f t="shared" si="1"/>
        <v>36</v>
      </c>
      <c r="L6" s="7">
        <v>9</v>
      </c>
      <c r="M6" s="9">
        <f t="shared" si="2"/>
        <v>27</v>
      </c>
      <c r="N6" s="7">
        <v>11</v>
      </c>
      <c r="O6" s="9">
        <f t="shared" si="3"/>
        <v>33</v>
      </c>
      <c r="Q6" s="10"/>
      <c r="R6" s="11"/>
      <c r="T6" s="11"/>
      <c r="V6" s="10"/>
      <c r="X6" s="10"/>
    </row>
    <row r="7" spans="1:28" ht="42.75" customHeight="1" thickBot="1" x14ac:dyDescent="0.3">
      <c r="A7" s="15" t="s">
        <v>12</v>
      </c>
      <c r="B7" s="16">
        <v>12</v>
      </c>
      <c r="C7" s="16">
        <v>9</v>
      </c>
      <c r="D7" s="17">
        <v>10</v>
      </c>
      <c r="E7" s="17">
        <v>13</v>
      </c>
      <c r="I7" s="18">
        <f>SUM(I2:I6)</f>
        <v>532</v>
      </c>
      <c r="K7" s="19">
        <f>SUM(K2:K6)</f>
        <v>476</v>
      </c>
      <c r="M7" s="20">
        <f>SUM(M2:M6)</f>
        <v>341</v>
      </c>
      <c r="O7" s="21">
        <f>SUM(O2:O6)</f>
        <v>347</v>
      </c>
    </row>
    <row r="8" spans="1:28" ht="31.5" x14ac:dyDescent="0.25">
      <c r="A8" s="15" t="s">
        <v>13</v>
      </c>
      <c r="B8" s="16">
        <v>14</v>
      </c>
      <c r="C8" s="16">
        <v>12</v>
      </c>
      <c r="D8" s="17">
        <v>8</v>
      </c>
      <c r="E8" s="17">
        <v>10</v>
      </c>
      <c r="G8" s="9" t="s">
        <v>14</v>
      </c>
      <c r="H8" s="7">
        <v>50</v>
      </c>
      <c r="J8" s="9" t="s">
        <v>14</v>
      </c>
      <c r="K8" s="7">
        <v>50</v>
      </c>
      <c r="M8" s="9" t="s">
        <v>14</v>
      </c>
      <c r="N8" s="7">
        <v>50</v>
      </c>
      <c r="P8" s="9" t="s">
        <v>14</v>
      </c>
      <c r="Q8" s="7">
        <v>50</v>
      </c>
    </row>
    <row r="9" spans="1:28" ht="15.75" x14ac:dyDescent="0.25">
      <c r="A9" s="15" t="s">
        <v>15</v>
      </c>
      <c r="B9" s="16">
        <v>10</v>
      </c>
      <c r="C9" s="16">
        <v>12</v>
      </c>
      <c r="D9" s="17">
        <v>9</v>
      </c>
      <c r="E9" s="17">
        <v>11</v>
      </c>
      <c r="G9" s="9" t="s">
        <v>16</v>
      </c>
      <c r="H9" s="18">
        <f>(I7*H8)/1000</f>
        <v>26.6</v>
      </c>
      <c r="J9" s="9" t="s">
        <v>16</v>
      </c>
      <c r="K9" s="18">
        <f>(K7*K8)/1000</f>
        <v>23.8</v>
      </c>
      <c r="M9" s="9" t="s">
        <v>16</v>
      </c>
      <c r="N9" s="18">
        <f>(M7*N8)/1000</f>
        <v>17.05</v>
      </c>
      <c r="P9" s="9" t="s">
        <v>16</v>
      </c>
      <c r="Q9" s="18">
        <f>(O7*Q8)/1000</f>
        <v>17.350000000000001</v>
      </c>
    </row>
    <row r="11" spans="1:28" ht="47.25" x14ac:dyDescent="0.25">
      <c r="A11" s="22" t="s">
        <v>7</v>
      </c>
      <c r="B11" s="22" t="s">
        <v>0</v>
      </c>
      <c r="C11" s="4"/>
      <c r="D11" s="4"/>
      <c r="K11" s="23"/>
      <c r="L11" s="23"/>
    </row>
    <row r="12" spans="1:28" ht="31.5" x14ac:dyDescent="0.25">
      <c r="A12" s="15" t="s">
        <v>10</v>
      </c>
      <c r="B12" s="15">
        <v>13</v>
      </c>
      <c r="C12" s="11"/>
      <c r="D12" s="10"/>
      <c r="K12" s="24"/>
    </row>
    <row r="13" spans="1:28" ht="47.25" x14ac:dyDescent="0.25">
      <c r="A13" s="15" t="s">
        <v>11</v>
      </c>
      <c r="B13" s="15">
        <v>8</v>
      </c>
      <c r="C13" s="11"/>
      <c r="D13" s="10"/>
      <c r="G13" s="9" t="s">
        <v>17</v>
      </c>
      <c r="H13" s="9" t="s">
        <v>18</v>
      </c>
      <c r="I13" s="9" t="s">
        <v>19</v>
      </c>
      <c r="J13" s="9" t="s">
        <v>20</v>
      </c>
      <c r="K13" s="25" t="s">
        <v>21</v>
      </c>
      <c r="L13" s="25" t="s">
        <v>22</v>
      </c>
    </row>
    <row r="14" spans="1:28" ht="31.5" x14ac:dyDescent="0.25">
      <c r="A14" s="15" t="s">
        <v>12</v>
      </c>
      <c r="B14" s="15">
        <v>7</v>
      </c>
      <c r="C14" s="11"/>
      <c r="D14" s="10"/>
      <c r="G14" s="9" t="s">
        <v>1</v>
      </c>
      <c r="H14" s="9">
        <f>H9</f>
        <v>26.6</v>
      </c>
      <c r="I14" s="9">
        <v>2.5</v>
      </c>
      <c r="J14" s="9">
        <v>0.94</v>
      </c>
      <c r="K14" s="25">
        <f>D26</f>
        <v>1.1443650000000001</v>
      </c>
      <c r="L14" s="9">
        <f t="shared" ref="L14:L17" si="4">I14*H14^J14*K14</f>
        <v>62.501913528437861</v>
      </c>
    </row>
    <row r="15" spans="1:28" ht="31.5" x14ac:dyDescent="0.25">
      <c r="A15" s="15" t="s">
        <v>13</v>
      </c>
      <c r="B15" s="15">
        <v>5</v>
      </c>
      <c r="C15" s="11"/>
      <c r="D15" s="10"/>
      <c r="G15" s="9" t="s">
        <v>3</v>
      </c>
      <c r="H15" s="9">
        <f>K9</f>
        <v>23.8</v>
      </c>
      <c r="I15" s="9">
        <v>2.5</v>
      </c>
      <c r="J15" s="9">
        <v>0.94</v>
      </c>
      <c r="K15" s="26">
        <f>D36</f>
        <v>1.1443650000000001</v>
      </c>
      <c r="L15" s="9">
        <f t="shared" si="4"/>
        <v>56.297215503482356</v>
      </c>
    </row>
    <row r="16" spans="1:28" ht="15.75" x14ac:dyDescent="0.25">
      <c r="A16" s="15" t="s">
        <v>15</v>
      </c>
      <c r="B16" s="15">
        <v>3</v>
      </c>
      <c r="C16" s="11"/>
      <c r="D16" s="10"/>
      <c r="G16" s="9" t="s">
        <v>5</v>
      </c>
      <c r="H16" s="9">
        <f>N9</f>
        <v>17.05</v>
      </c>
      <c r="I16" s="9">
        <v>2.5</v>
      </c>
      <c r="J16" s="9">
        <v>0.94</v>
      </c>
      <c r="K16" s="27">
        <f>D48</f>
        <v>0.73587645000000002</v>
      </c>
      <c r="L16" s="9">
        <f t="shared" si="4"/>
        <v>26.458537424254473</v>
      </c>
    </row>
    <row r="17" spans="1:12" ht="15.75" x14ac:dyDescent="0.25">
      <c r="A17" s="11"/>
      <c r="B17" s="11"/>
      <c r="C17" s="11"/>
      <c r="D17" s="10"/>
      <c r="G17" s="9" t="s">
        <v>6</v>
      </c>
      <c r="H17" s="9">
        <f>Q9</f>
        <v>17.350000000000001</v>
      </c>
      <c r="I17" s="9">
        <v>2.5</v>
      </c>
      <c r="J17" s="9">
        <v>0.94</v>
      </c>
      <c r="K17" s="27">
        <f>D60</f>
        <v>0.90907499999999986</v>
      </c>
      <c r="L17" s="9">
        <f t="shared" si="4"/>
        <v>33.226242748770623</v>
      </c>
    </row>
    <row r="18" spans="1:12" ht="15.75" customHeight="1" x14ac:dyDescent="0.25">
      <c r="A18" s="51" t="s">
        <v>1</v>
      </c>
      <c r="B18" s="51"/>
      <c r="C18" s="51"/>
      <c r="D18" s="11"/>
      <c r="E18" s="11"/>
      <c r="G18" s="28" t="s">
        <v>23</v>
      </c>
      <c r="K18" s="24"/>
      <c r="L18" s="29">
        <f>SUM(L14:L17)</f>
        <v>178.48390920494532</v>
      </c>
    </row>
    <row r="19" spans="1:12" ht="15.75" x14ac:dyDescent="0.25">
      <c r="A19" s="8" t="s">
        <v>24</v>
      </c>
      <c r="B19" s="8" t="s">
        <v>25</v>
      </c>
      <c r="C19" s="8" t="s">
        <v>26</v>
      </c>
    </row>
    <row r="20" spans="1:12" x14ac:dyDescent="0.25">
      <c r="A20" s="30" t="s">
        <v>27</v>
      </c>
      <c r="B20" s="30" t="s">
        <v>28</v>
      </c>
      <c r="C20" s="31">
        <v>1</v>
      </c>
    </row>
    <row r="21" spans="1:12" x14ac:dyDescent="0.25">
      <c r="A21" s="30" t="s">
        <v>29</v>
      </c>
      <c r="B21" s="30" t="s">
        <v>28</v>
      </c>
      <c r="C21" s="31">
        <v>1</v>
      </c>
    </row>
    <row r="22" spans="1:12" x14ac:dyDescent="0.25">
      <c r="A22" s="30" t="s">
        <v>30</v>
      </c>
      <c r="B22" s="30" t="s">
        <v>31</v>
      </c>
      <c r="C22" s="31">
        <v>1.07</v>
      </c>
    </row>
    <row r="23" spans="1:12" x14ac:dyDescent="0.25">
      <c r="A23" s="30" t="s">
        <v>32</v>
      </c>
      <c r="B23" s="30" t="s">
        <v>31</v>
      </c>
      <c r="C23" s="31">
        <v>1.1499999999999999</v>
      </c>
    </row>
    <row r="24" spans="1:12" x14ac:dyDescent="0.25">
      <c r="A24" s="30" t="s">
        <v>33</v>
      </c>
      <c r="B24" s="30" t="s">
        <v>28</v>
      </c>
      <c r="C24" s="31">
        <v>1</v>
      </c>
    </row>
    <row r="25" spans="1:12" x14ac:dyDescent="0.25">
      <c r="A25" s="30" t="s">
        <v>34</v>
      </c>
      <c r="B25" s="30" t="s">
        <v>35</v>
      </c>
      <c r="C25" s="31">
        <v>0.93</v>
      </c>
      <c r="D25" s="32" t="s">
        <v>21</v>
      </c>
    </row>
    <row r="26" spans="1:12" ht="15.75" x14ac:dyDescent="0.25">
      <c r="A26" s="11"/>
      <c r="B26" s="11"/>
      <c r="C26" s="11"/>
      <c r="D26" s="19">
        <f>PRODUCT(C20:C25)</f>
        <v>1.1443650000000001</v>
      </c>
    </row>
    <row r="28" spans="1:12" ht="15.75" x14ac:dyDescent="0.25">
      <c r="A28" s="51" t="s">
        <v>3</v>
      </c>
      <c r="B28" s="51"/>
      <c r="C28" s="51"/>
      <c r="D28" s="11"/>
      <c r="E28" s="11"/>
    </row>
    <row r="29" spans="1:12" ht="15.75" x14ac:dyDescent="0.25">
      <c r="A29" s="8" t="s">
        <v>24</v>
      </c>
      <c r="B29" s="8" t="s">
        <v>25</v>
      </c>
      <c r="C29" s="8" t="s">
        <v>26</v>
      </c>
    </row>
    <row r="30" spans="1:12" x14ac:dyDescent="0.25">
      <c r="A30" s="30" t="s">
        <v>27</v>
      </c>
      <c r="B30" s="30" t="s">
        <v>35</v>
      </c>
      <c r="C30" s="31">
        <v>0.93</v>
      </c>
    </row>
    <row r="31" spans="1:12" x14ac:dyDescent="0.25">
      <c r="A31" s="30" t="s">
        <v>29</v>
      </c>
      <c r="B31" s="30" t="s">
        <v>28</v>
      </c>
      <c r="C31" s="31">
        <v>1</v>
      </c>
    </row>
    <row r="32" spans="1:12" x14ac:dyDescent="0.25">
      <c r="A32" s="30" t="s">
        <v>30</v>
      </c>
      <c r="B32" s="30" t="s">
        <v>31</v>
      </c>
      <c r="C32" s="31">
        <v>1.07</v>
      </c>
    </row>
    <row r="33" spans="1:10" x14ac:dyDescent="0.25">
      <c r="A33" s="30" t="s">
        <v>32</v>
      </c>
      <c r="B33" s="30" t="s">
        <v>28</v>
      </c>
      <c r="C33" s="31">
        <v>1</v>
      </c>
    </row>
    <row r="34" spans="1:10" x14ac:dyDescent="0.25">
      <c r="A34" s="30" t="s">
        <v>33</v>
      </c>
      <c r="B34" s="30" t="s">
        <v>31</v>
      </c>
      <c r="C34" s="31">
        <v>1.1499999999999999</v>
      </c>
    </row>
    <row r="35" spans="1:10" x14ac:dyDescent="0.25">
      <c r="A35" s="30" t="s">
        <v>34</v>
      </c>
      <c r="B35" s="30" t="s">
        <v>28</v>
      </c>
      <c r="C35" s="31">
        <v>1</v>
      </c>
      <c r="D35" s="32" t="s">
        <v>21</v>
      </c>
    </row>
    <row r="36" spans="1:10" ht="15.75" x14ac:dyDescent="0.25">
      <c r="A36" s="33" t="s">
        <v>9</v>
      </c>
      <c r="B36" s="11"/>
      <c r="C36" s="11"/>
      <c r="D36" s="34">
        <f>PRODUCT(C30:C35)</f>
        <v>1.1443650000000001</v>
      </c>
    </row>
    <row r="40" spans="1:10" ht="15.75" x14ac:dyDescent="0.25">
      <c r="A40" s="51" t="s">
        <v>5</v>
      </c>
      <c r="B40" s="51"/>
      <c r="C40" s="51"/>
      <c r="D40" s="11"/>
    </row>
    <row r="41" spans="1:10" ht="15.75" x14ac:dyDescent="0.25">
      <c r="A41" s="8" t="s">
        <v>24</v>
      </c>
      <c r="B41" s="8" t="s">
        <v>25</v>
      </c>
      <c r="C41" s="8" t="s">
        <v>26</v>
      </c>
    </row>
    <row r="42" spans="1:10" x14ac:dyDescent="0.25">
      <c r="A42" s="30" t="s">
        <v>27</v>
      </c>
      <c r="B42" s="30" t="s">
        <v>35</v>
      </c>
      <c r="C42" s="31">
        <v>0.93</v>
      </c>
    </row>
    <row r="43" spans="1:10" x14ac:dyDescent="0.25">
      <c r="A43" s="30" t="s">
        <v>29</v>
      </c>
      <c r="B43" s="30" t="s">
        <v>28</v>
      </c>
      <c r="C43" s="31">
        <v>1</v>
      </c>
    </row>
    <row r="44" spans="1:10" x14ac:dyDescent="0.25">
      <c r="A44" s="30" t="s">
        <v>30</v>
      </c>
      <c r="B44" s="30" t="s">
        <v>35</v>
      </c>
      <c r="C44" s="31">
        <v>0.85</v>
      </c>
    </row>
    <row r="45" spans="1:10" x14ac:dyDescent="0.25">
      <c r="A45" s="30" t="s">
        <v>32</v>
      </c>
      <c r="B45" s="30" t="s">
        <v>31</v>
      </c>
      <c r="C45" s="31">
        <v>1.07</v>
      </c>
    </row>
    <row r="46" spans="1:10" x14ac:dyDescent="0.25">
      <c r="A46" s="30" t="s">
        <v>33</v>
      </c>
      <c r="B46" s="30" t="s">
        <v>35</v>
      </c>
      <c r="C46" s="31">
        <v>0.87</v>
      </c>
    </row>
    <row r="47" spans="1:10" x14ac:dyDescent="0.25">
      <c r="A47" s="30" t="s">
        <v>34</v>
      </c>
      <c r="B47" s="30" t="s">
        <v>28</v>
      </c>
      <c r="C47" s="31">
        <v>1</v>
      </c>
      <c r="D47" s="32" t="s">
        <v>21</v>
      </c>
      <c r="J47" t="s">
        <v>9</v>
      </c>
    </row>
    <row r="48" spans="1:10" ht="15.75" x14ac:dyDescent="0.25">
      <c r="A48" s="33" t="s">
        <v>9</v>
      </c>
      <c r="B48" s="11"/>
      <c r="C48" s="11"/>
      <c r="D48" s="34">
        <f>PRODUCT(C42:C47)</f>
        <v>0.73587645000000002</v>
      </c>
    </row>
    <row r="52" spans="1:6" ht="15.75" x14ac:dyDescent="0.25">
      <c r="A52" s="51" t="s">
        <v>6</v>
      </c>
      <c r="B52" s="51"/>
      <c r="C52" s="51"/>
      <c r="D52" s="11"/>
    </row>
    <row r="53" spans="1:6" ht="15.75" x14ac:dyDescent="0.25">
      <c r="A53" s="8" t="s">
        <v>24</v>
      </c>
      <c r="B53" s="8" t="s">
        <v>25</v>
      </c>
      <c r="C53" s="8" t="s">
        <v>26</v>
      </c>
    </row>
    <row r="54" spans="1:6" x14ac:dyDescent="0.25">
      <c r="A54" s="30" t="s">
        <v>27</v>
      </c>
      <c r="B54" s="30" t="s">
        <v>35</v>
      </c>
      <c r="C54" s="31">
        <v>0.93</v>
      </c>
    </row>
    <row r="55" spans="1:6" x14ac:dyDescent="0.25">
      <c r="A55" s="30" t="s">
        <v>29</v>
      </c>
      <c r="B55" s="30" t="s">
        <v>28</v>
      </c>
      <c r="C55" s="31">
        <v>1</v>
      </c>
    </row>
    <row r="56" spans="1:6" x14ac:dyDescent="0.25">
      <c r="A56" s="30" t="s">
        <v>30</v>
      </c>
      <c r="B56" s="30" t="s">
        <v>35</v>
      </c>
      <c r="C56" s="31">
        <v>0.85</v>
      </c>
    </row>
    <row r="57" spans="1:6" x14ac:dyDescent="0.25">
      <c r="A57" s="30" t="s">
        <v>32</v>
      </c>
      <c r="B57" s="30" t="s">
        <v>28</v>
      </c>
      <c r="C57" s="31">
        <v>1</v>
      </c>
    </row>
    <row r="58" spans="1:6" x14ac:dyDescent="0.25">
      <c r="A58" s="30" t="s">
        <v>33</v>
      </c>
      <c r="B58" s="30" t="s">
        <v>31</v>
      </c>
      <c r="C58" s="31">
        <v>1.1499999999999999</v>
      </c>
    </row>
    <row r="59" spans="1:6" x14ac:dyDescent="0.25">
      <c r="A59" s="30" t="s">
        <v>34</v>
      </c>
      <c r="B59" s="30" t="s">
        <v>28</v>
      </c>
      <c r="C59" s="31">
        <v>1</v>
      </c>
      <c r="D59" s="32" t="s">
        <v>21</v>
      </c>
    </row>
    <row r="60" spans="1:6" ht="15.75" x14ac:dyDescent="0.25">
      <c r="A60" s="33" t="s">
        <v>9</v>
      </c>
      <c r="B60" s="11"/>
      <c r="C60" s="11"/>
      <c r="D60" s="34">
        <f>PRODUCT(C54:C59)</f>
        <v>0.90907499999999986</v>
      </c>
    </row>
    <row r="64" spans="1:6" x14ac:dyDescent="0.25">
      <c r="E64" s="23"/>
      <c r="F64" s="23"/>
    </row>
    <row r="65" spans="5:6" x14ac:dyDescent="0.25">
      <c r="E65" s="23"/>
      <c r="F65" s="23"/>
    </row>
    <row r="66" spans="5:6" x14ac:dyDescent="0.25">
      <c r="E66" s="35"/>
      <c r="F66" s="23"/>
    </row>
    <row r="67" spans="5:6" x14ac:dyDescent="0.25">
      <c r="E67" s="24"/>
    </row>
    <row r="68" spans="5:6" x14ac:dyDescent="0.25">
      <c r="E68" s="24"/>
    </row>
    <row r="69" spans="5:6" x14ac:dyDescent="0.25">
      <c r="E69" s="24"/>
    </row>
  </sheetData>
  <mergeCells count="7">
    <mergeCell ref="A40:C40"/>
    <mergeCell ref="A52:C52"/>
    <mergeCell ref="A1:E1"/>
    <mergeCell ref="A3:A4"/>
    <mergeCell ref="B3:E3"/>
    <mergeCell ref="A18:C18"/>
    <mergeCell ref="A28:C28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12"/>
  <sheetViews>
    <sheetView tabSelected="1" workbookViewId="0">
      <selection activeCell="E19" sqref="E19"/>
    </sheetView>
  </sheetViews>
  <sheetFormatPr defaultRowHeight="15" x14ac:dyDescent="0.25"/>
  <cols>
    <col min="1" max="1" width="84" bestFit="1" customWidth="1"/>
    <col min="12" max="12" width="12.42578125" bestFit="1" customWidth="1"/>
  </cols>
  <sheetData>
    <row r="2" spans="1:17" x14ac:dyDescent="0.25">
      <c r="A2" s="9"/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N2" t="s">
        <v>42</v>
      </c>
    </row>
    <row r="3" spans="1:17" ht="15.75" x14ac:dyDescent="0.25">
      <c r="A3" s="9" t="s">
        <v>43</v>
      </c>
      <c r="B3" s="9"/>
      <c r="C3" s="9">
        <v>1</v>
      </c>
      <c r="D3" s="36">
        <v>0.25</v>
      </c>
      <c r="E3" s="9">
        <f>D3</f>
        <v>0.25</v>
      </c>
      <c r="F3" s="36">
        <v>1.95</v>
      </c>
      <c r="G3" s="9">
        <f t="shared" ref="G3:G11" si="0">PRODUCT(C3*E3*F3)</f>
        <v>0.48749999999999999</v>
      </c>
      <c r="K3" s="19" t="s">
        <v>44</v>
      </c>
      <c r="L3" s="29">
        <v>156.68731653470601</v>
      </c>
      <c r="N3" s="37">
        <f>L3/L4</f>
        <v>87.048509185947779</v>
      </c>
    </row>
    <row r="4" spans="1:17" ht="15.75" x14ac:dyDescent="0.25">
      <c r="A4" s="8" t="s">
        <v>45</v>
      </c>
      <c r="B4" s="36">
        <v>4.4999999999999998E-2</v>
      </c>
      <c r="C4" s="9">
        <f t="shared" ref="C4:C11" si="1">_xlfn.CEILING.MATH($N$3*B4)</f>
        <v>4</v>
      </c>
      <c r="D4" s="38">
        <v>0.4</v>
      </c>
      <c r="E4" s="9">
        <f t="shared" ref="E4:E11" si="2">D4*$N$3*(B4/C4)</f>
        <v>0.391718291336765</v>
      </c>
      <c r="F4" s="38">
        <v>1.85</v>
      </c>
      <c r="G4" s="9">
        <f t="shared" si="0"/>
        <v>2.8987153558920613</v>
      </c>
      <c r="K4" s="19" t="s">
        <v>46</v>
      </c>
      <c r="L4" s="27">
        <v>1.8</v>
      </c>
    </row>
    <row r="5" spans="1:17" ht="31.5" x14ac:dyDescent="0.25">
      <c r="A5" s="8" t="s">
        <v>47</v>
      </c>
      <c r="B5" s="38">
        <v>4.4999999999999998E-2</v>
      </c>
      <c r="C5" s="9">
        <f t="shared" si="1"/>
        <v>4</v>
      </c>
      <c r="D5" s="38">
        <v>0.6</v>
      </c>
      <c r="E5" s="9">
        <f t="shared" si="2"/>
        <v>0.58757743700514753</v>
      </c>
      <c r="F5" s="38">
        <v>1.7</v>
      </c>
      <c r="G5" s="9">
        <f t="shared" si="0"/>
        <v>3.9955265716350032</v>
      </c>
      <c r="K5" s="19" t="s">
        <v>48</v>
      </c>
      <c r="L5" s="9">
        <v>100000</v>
      </c>
    </row>
    <row r="6" spans="1:17" ht="31.5" x14ac:dyDescent="0.25">
      <c r="A6" s="8" t="s">
        <v>49</v>
      </c>
      <c r="B6" s="38">
        <v>4.4999999999999998E-2</v>
      </c>
      <c r="C6" s="9">
        <f t="shared" si="1"/>
        <v>4</v>
      </c>
      <c r="D6" s="38">
        <v>0.7</v>
      </c>
      <c r="E6" s="9">
        <f t="shared" si="2"/>
        <v>0.68550700983933865</v>
      </c>
      <c r="F6" s="38">
        <v>1.6</v>
      </c>
      <c r="G6" s="9">
        <f t="shared" si="0"/>
        <v>4.3872448629717677</v>
      </c>
      <c r="K6" s="19" t="s">
        <v>50</v>
      </c>
      <c r="L6" s="9">
        <v>0.75</v>
      </c>
      <c r="Q6" s="9" t="s">
        <v>51</v>
      </c>
    </row>
    <row r="7" spans="1:17" ht="45" x14ac:dyDescent="0.25">
      <c r="A7" s="8" t="s">
        <v>52</v>
      </c>
      <c r="B7" s="38">
        <v>0</v>
      </c>
      <c r="C7" s="9">
        <f t="shared" si="1"/>
        <v>0</v>
      </c>
      <c r="D7" s="38">
        <v>0.8</v>
      </c>
      <c r="E7" s="9">
        <v>0</v>
      </c>
      <c r="F7" s="38">
        <v>1.5</v>
      </c>
      <c r="G7" s="9">
        <v>0</v>
      </c>
      <c r="K7" s="19" t="s">
        <v>53</v>
      </c>
      <c r="L7" s="39">
        <v>0.05</v>
      </c>
      <c r="M7" s="23" t="s">
        <v>54</v>
      </c>
      <c r="O7" s="9" t="s">
        <v>55</v>
      </c>
      <c r="P7" s="40">
        <f>15%</f>
        <v>0.15</v>
      </c>
      <c r="Q7" s="9">
        <f t="shared" ref="Q7:Q9" si="3">$L$9*P7</f>
        <v>3411654.2943682545</v>
      </c>
    </row>
    <row r="8" spans="1:17" ht="31.5" x14ac:dyDescent="0.25">
      <c r="A8" s="8" t="s">
        <v>56</v>
      </c>
      <c r="B8" s="38">
        <v>0.20399999999999999</v>
      </c>
      <c r="C8" s="9">
        <f t="shared" si="1"/>
        <v>18</v>
      </c>
      <c r="D8" s="38">
        <v>0.9</v>
      </c>
      <c r="E8" s="9">
        <f t="shared" si="2"/>
        <v>0.88789479369666735</v>
      </c>
      <c r="F8" s="38">
        <v>1.4</v>
      </c>
      <c r="G8" s="9">
        <f t="shared" si="0"/>
        <v>22.374948801156016</v>
      </c>
      <c r="K8" s="19" t="s">
        <v>57</v>
      </c>
      <c r="L8" s="9">
        <f>(L5*(1+0.05))/L6</f>
        <v>140000</v>
      </c>
      <c r="O8" s="9" t="s">
        <v>58</v>
      </c>
      <c r="P8" s="9">
        <f>65%</f>
        <v>0.65</v>
      </c>
      <c r="Q8" s="9">
        <f t="shared" si="3"/>
        <v>14783835.275595771</v>
      </c>
    </row>
    <row r="9" spans="1:17" ht="31.5" x14ac:dyDescent="0.25">
      <c r="A9" s="8" t="s">
        <v>59</v>
      </c>
      <c r="B9" s="38">
        <v>6.8000000000000005E-2</v>
      </c>
      <c r="C9" s="9">
        <f t="shared" si="1"/>
        <v>6</v>
      </c>
      <c r="D9" s="38">
        <v>1</v>
      </c>
      <c r="E9" s="9">
        <f t="shared" si="2"/>
        <v>0.98654977077407491</v>
      </c>
      <c r="F9" s="38">
        <v>1</v>
      </c>
      <c r="G9" s="9">
        <f t="shared" si="0"/>
        <v>5.9192986246444494</v>
      </c>
      <c r="K9" s="19" t="s">
        <v>60</v>
      </c>
      <c r="L9" s="41">
        <f>L8*L4*C12*G12</f>
        <v>22744361.962455031</v>
      </c>
      <c r="O9" s="9" t="s">
        <v>61</v>
      </c>
      <c r="P9" s="9">
        <f>20%</f>
        <v>0.2</v>
      </c>
      <c r="Q9" s="9">
        <f t="shared" si="3"/>
        <v>4548872.3924910063</v>
      </c>
    </row>
    <row r="10" spans="1:17" ht="15.75" x14ac:dyDescent="0.25">
      <c r="A10" s="8" t="s">
        <v>62</v>
      </c>
      <c r="B10" s="38">
        <v>0.52</v>
      </c>
      <c r="C10" s="9">
        <f t="shared" si="1"/>
        <v>46</v>
      </c>
      <c r="D10" s="38">
        <v>1</v>
      </c>
      <c r="E10" s="9">
        <f t="shared" si="2"/>
        <v>0.98402662558027931</v>
      </c>
      <c r="F10" s="38">
        <v>0.9</v>
      </c>
      <c r="G10" s="9">
        <f t="shared" si="0"/>
        <v>40.738702299023565</v>
      </c>
    </row>
    <row r="11" spans="1:17" ht="15.75" x14ac:dyDescent="0.25">
      <c r="A11" s="8" t="s">
        <v>63</v>
      </c>
      <c r="B11" s="38">
        <v>0.18099999999999999</v>
      </c>
      <c r="C11" s="9">
        <f t="shared" si="1"/>
        <v>16</v>
      </c>
      <c r="D11" s="38">
        <v>0.8</v>
      </c>
      <c r="E11" s="9">
        <f t="shared" si="2"/>
        <v>0.78778900813282737</v>
      </c>
      <c r="F11" s="38">
        <v>0.75</v>
      </c>
      <c r="G11" s="9">
        <f t="shared" si="0"/>
        <v>9.4534680975939285</v>
      </c>
    </row>
    <row r="12" spans="1:17" x14ac:dyDescent="0.25">
      <c r="A12" s="42" t="s">
        <v>64</v>
      </c>
      <c r="B12" s="9"/>
      <c r="C12" s="18">
        <f>SUM(C3:C11)</f>
        <v>99</v>
      </c>
      <c r="D12" s="9"/>
      <c r="E12" s="9"/>
      <c r="F12" s="9"/>
      <c r="G12" s="18">
        <f>SUM(G3:G11)/C12</f>
        <v>0.91167075366582617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общие трудозатраты</vt:lpstr>
      <vt:lpstr>общая стоимость</vt:lpstr>
      <vt:lpstr>'общие трудозатраты'!_ftn1</vt:lpstr>
      <vt:lpstr>'общие трудозатраты'!_ftnref1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Альфия Мусина</dc:creator>
  <cp:lastModifiedBy>Ilya</cp:lastModifiedBy>
  <cp:revision>1</cp:revision>
  <dcterms:created xsi:type="dcterms:W3CDTF">2015-06-05T18:19:34Z</dcterms:created>
  <dcterms:modified xsi:type="dcterms:W3CDTF">2026-03-20T05:38:33Z</dcterms:modified>
</cp:coreProperties>
</file>